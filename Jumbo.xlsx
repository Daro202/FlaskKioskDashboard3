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toraenso-my.sharepoint.com/personal/dariusz_buchalski_storaenso_com/Documents/"/>
    </mc:Choice>
  </mc:AlternateContent>
  <xr:revisionPtr revIDLastSave="39" documentId="8_{2C740303-9498-4E1B-B999-D732A592522F}" xr6:coauthVersionLast="47" xr6:coauthVersionMax="47" xr10:uidLastSave="{31DF8235-8E6D-4EAF-9734-089E9661F991}"/>
  <bookViews>
    <workbookView xWindow="-120" yWindow="-120" windowWidth="29040" windowHeight="15720" xr2:uid="{BE0CCD2D-10B9-4F52-863F-7EF4C64C1846}"/>
  </bookViews>
  <sheets>
    <sheet name="Arkusz1" sheetId="1" r:id="rId1"/>
  </sheets>
  <definedNames>
    <definedName name="ExternalData_3" localSheetId="0" hidden="1">Arkusz1!$A$1:$J$93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BE2232-B0D8-4E6D-8C31-CC0C93FE44AD}" keepAlive="1" name="Zapytanie — Raport" description="Połączenie z zapytaniem „Raport” w skoroszycie." type="5" refreshedVersion="8" background="1" saveData="1">
    <dbPr connection="Provider=Microsoft.Mashup.OleDb.1;Data Source=$Workbook$;Location=Raport;Extended Properties=&quot;&quot;" command="SELECT * FROM [Raport]"/>
  </connection>
  <connection id="2" xr16:uid="{E383BA30-A04C-4EC2-AD39-FE88D873DC6C}" keepAlive="1" name="Zapytanie — T1_GroupedDaily" description="Połączenie z zapytaniem „T1_GroupedDaily” w skoroszycie." type="5" refreshedVersion="0" background="1">
    <dbPr connection="Provider=Microsoft.Mashup.OleDb.1;Data Source=$Workbook$;Location=T1_GroupedDaily;Extended Properties=&quot;&quot;" command="SELECT * FROM [T1_GroupedDaily]"/>
  </connection>
  <connection id="3" xr16:uid="{F7E513E0-DB5A-43E9-A342-68F2009DF812}" keepAlive="1" name="Zapytanie — T1_NORMALIZED" description="Połączenie z zapytaniem „T1_NORMALIZED” w skoroszycie." type="5" refreshedVersion="0" background="1">
    <dbPr connection="Provider=Microsoft.Mashup.OleDb.1;Data Source=$Workbook$;Location=T1_NORMALIZED;Extended Properties=&quot;&quot;" command="SELECT * FROM [T1_NORMALIZED]"/>
  </connection>
  <connection id="4" xr16:uid="{722A5ECC-4975-42C4-8550-FC3D6D7F2125}" keepAlive="1" name="Zapytanie — T1_Raw" description="Połączenie z zapytaniem „T1_Raw” w skoroszycie." type="5" refreshedVersion="0" background="1">
    <dbPr connection="Provider=Microsoft.Mashup.OleDb.1;Data Source=$Workbook$;Location=T1_Raw;Extended Properties=&quot;&quot;" command="SELECT * FROM [T1_Raw]"/>
  </connection>
  <connection id="5" xr16:uid="{20ED9ED8-713D-4D01-A45C-CADFD228D15D}" keepAlive="1" name="Zapytanie — T2_GroupedDaily" description="Połączenie z zapytaniem „T2_GroupedDaily” w skoroszycie." type="5" refreshedVersion="0" background="1">
    <dbPr connection="Provider=Microsoft.Mashup.OleDb.1;Data Source=$Workbook$;Location=T2_GroupedDaily;Extended Properties=&quot;&quot;" command="SELECT * FROM [T2_GroupedDaily]"/>
  </connection>
  <connection id="6" xr16:uid="{7CCEA94D-C4D5-4BFC-AAE9-9A6BC6F996E4}" keepAlive="1" name="Zapytanie — T2_NORMALIZED" description="Połączenie z zapytaniem „T2_NORMALIZED” w skoroszycie." type="5" refreshedVersion="0" background="1">
    <dbPr connection="Provider=Microsoft.Mashup.OleDb.1;Data Source=$Workbook$;Location=T2_NORMALIZED;Extended Properties=&quot;&quot;" command="SELECT * FROM [T2_NORMALIZED]"/>
  </connection>
  <connection id="7" xr16:uid="{99A81D6C-F264-4AE5-AC6B-5ED398306F83}" keepAlive="1" name="Zapytanie — T2_Raw" description="Połączenie z zapytaniem „T2_Raw” w skoroszycie." type="5" refreshedVersion="0" background="1">
    <dbPr connection="Provider=Microsoft.Mashup.OleDb.1;Data Source=$Workbook$;Location=T2_Raw;Extended Properties=&quot;&quot;" command="SELECT * FROM [T2_Raw]"/>
  </connection>
</connections>
</file>

<file path=xl/sharedStrings.xml><?xml version="1.0" encoding="utf-8"?>
<sst xmlns="http://schemas.openxmlformats.org/spreadsheetml/2006/main" count="291" uniqueCount="28">
  <si>
    <t>Segment</t>
  </si>
  <si>
    <t>Brygada</t>
  </si>
  <si>
    <t>Amazon</t>
  </si>
  <si>
    <t>All</t>
  </si>
  <si>
    <t>1330</t>
  </si>
  <si>
    <t>C</t>
  </si>
  <si>
    <t>A</t>
  </si>
  <si>
    <t>B</t>
  </si>
  <si>
    <t>Reszta</t>
  </si>
  <si>
    <t>Maszyna</t>
  </si>
  <si>
    <t>Dzień</t>
  </si>
  <si>
    <t>Narastająca prędkość [m2/wh]</t>
  </si>
  <si>
    <t>Narastająca produkcja [m2]</t>
  </si>
  <si>
    <t>Prędkość dzienna [m2/wh]</t>
  </si>
  <si>
    <t>Czas pracy [wh]</t>
  </si>
  <si>
    <t>Produkcja dzienna [m2 ]</t>
  </si>
  <si>
    <t>Narastający czas [wh]</t>
  </si>
  <si>
    <t>mtf_costcenter_number</t>
  </si>
  <si>
    <t>mtf_report_date</t>
  </si>
  <si>
    <t>Prod_m2</t>
  </si>
  <si>
    <t>WorkMin</t>
  </si>
  <si>
    <t>Speed_m2_wh</t>
  </si>
  <si>
    <t>Cum_Prod_m2</t>
  </si>
  <si>
    <t>Cum_WorkMin</t>
  </si>
  <si>
    <t>Cum_Speed_m2_wh</t>
  </si>
  <si>
    <t>techniczne</t>
  </si>
  <si>
    <t>Python</t>
  </si>
  <si>
    <t>day_index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</si>
</sst>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theme="9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14" fontId="1" fillId="2" borderId="2" xfId="0" applyNumberFormat="1" applyFont="1" applyFill="1" applyBorder="1"/>
  </cellXfs>
  <cellStyles count="1">
    <cellStyle name="Normalny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190A9E09-10C5-4272-AEC7-483C4BD0B906}" autoFormatId="16" applyNumberFormats="0" applyBorderFormats="0" applyFontFormats="0" applyPatternFormats="0" applyAlignmentFormats="0" applyWidthHeightFormats="0">
  <queryTableRefresh nextId="23" unboundColumnsRight="1">
    <queryTableFields count="11">
      <queryTableField id="2" name="Segment" tableColumnId="2"/>
      <queryTableField id="3" name="Brygada" tableColumnId="3"/>
      <queryTableField id="14" name="mtf_costcenter_number" tableColumnId="11"/>
      <queryTableField id="1" name="mtf_report_date" tableColumnId="1"/>
      <queryTableField id="4" name="Prod_m2" tableColumnId="4"/>
      <queryTableField id="5" name="WorkMin" tableColumnId="5"/>
      <queryTableField id="13" name="Speed_m2_wh" tableColumnId="10"/>
      <queryTableField id="16" name="Cum_Prod_m2" tableColumnId="6"/>
      <queryTableField id="17" name="Cum_WorkMin" tableColumnId="7"/>
      <queryTableField id="18" name="Cum_Speed_m2_wh" tableColumnId="8"/>
      <queryTableField id="22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30138A-E642-433B-AAA9-F2A57BDF5BDE}" name="Raport" displayName="Raport" ref="A1:K93" tableType="queryTable" totalsRowShown="0">
  <autoFilter ref="A1:K93" xr:uid="{1730138A-E642-433B-AAA9-F2A57BDF5BDE}"/>
  <sortState xmlns:xlrd2="http://schemas.microsoft.com/office/spreadsheetml/2017/richdata2" ref="A2:J73">
    <sortCondition ref="D2:D73"/>
  </sortState>
  <tableColumns count="11">
    <tableColumn id="2" xr3:uid="{A434A7BD-B920-46DC-B679-B95F31C0C848}" uniqueName="2" name="Segment" queryTableFieldId="2" dataDxfId="7"/>
    <tableColumn id="3" xr3:uid="{C0E9884D-F486-48B7-87A5-4F055B5CB66D}" uniqueName="3" name="Brygada" queryTableFieldId="3" dataDxfId="6"/>
    <tableColumn id="11" xr3:uid="{F9452BD7-48CB-4743-BE47-B2D814028231}" uniqueName="11" name="Maszyna" queryTableFieldId="14" dataDxfId="5"/>
    <tableColumn id="1" xr3:uid="{41D9B31B-1C8D-4046-97C1-641A0512F4FF}" uniqueName="1" name="Dzień" queryTableFieldId="1" dataDxfId="4"/>
    <tableColumn id="4" xr3:uid="{1BE80ADB-A0F6-4E35-9F75-8589EBAC253C}" uniqueName="4" name="Produkcja dzienna [m2 ]" queryTableFieldId="4" dataDxfId="3"/>
    <tableColumn id="5" xr3:uid="{8ADC085E-8895-4FE1-B278-28AC47A635AF}" uniqueName="5" name="Czas pracy [wh]" queryTableFieldId="5" dataDxfId="2"/>
    <tableColumn id="10" xr3:uid="{F0074E8F-F181-49E0-AA94-E5179D277904}" uniqueName="10" name="Prędkość dzienna [m2/wh]" queryTableFieldId="13" dataDxfId="1"/>
    <tableColumn id="6" xr3:uid="{0851AB8C-C656-465B-A3A0-36796443A497}" uniqueName="6" name="Narastająca produkcja [m2]" queryTableFieldId="16"/>
    <tableColumn id="7" xr3:uid="{F2C67B8B-BAF4-4581-B1A3-A0321B5720DA}" uniqueName="7" name="Narastający czas [wh]" queryTableFieldId="17"/>
    <tableColumn id="8" xr3:uid="{F02E25EB-ABDC-4BEA-A110-810B00100C01}" uniqueName="8" name="Narastająca prędkość [m2/wh]" queryTableFieldId="18"/>
    <tableColumn id="9" xr3:uid="{601B24B1-0C4F-4661-AE6D-C73DBFC7663A}" uniqueName="9" name="day_index" queryTableFieldId="22" dataDxfId="0">
      <calculatedColumnFormula>DAY(Raport[[#This Row],[Dzień]])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D4C89-61CE-4AA4-A671-398E4FB3D027}">
  <dimension ref="A1:N93"/>
  <sheetViews>
    <sheetView tabSelected="1" workbookViewId="0">
      <selection activeCell="K3" sqref="K3"/>
    </sheetView>
  </sheetViews>
  <sheetFormatPr defaultRowHeight="15" x14ac:dyDescent="0.25"/>
  <cols>
    <col min="2" max="2" width="10.28515625" bestFit="1" customWidth="1"/>
    <col min="3" max="3" width="25.28515625" bestFit="1" customWidth="1"/>
    <col min="4" max="4" width="17.85546875" style="1" bestFit="1" customWidth="1"/>
    <col min="5" max="5" width="17.5703125" customWidth="1"/>
    <col min="6" max="6" width="24" bestFit="1" customWidth="1"/>
    <col min="7" max="7" width="25.85546875" bestFit="1" customWidth="1"/>
    <col min="8" max="8" width="16.28515625" bestFit="1" customWidth="1"/>
    <col min="10" max="10" width="30.85546875" bestFit="1" customWidth="1"/>
    <col min="11" max="11" width="16.7109375" customWidth="1"/>
    <col min="13" max="13" width="28.5703125" bestFit="1" customWidth="1"/>
    <col min="14" max="14" width="20.42578125" customWidth="1"/>
  </cols>
  <sheetData>
    <row r="1" spans="1:14" x14ac:dyDescent="0.25">
      <c r="A1" t="s">
        <v>0</v>
      </c>
      <c r="B1" t="s">
        <v>1</v>
      </c>
      <c r="C1" t="s">
        <v>9</v>
      </c>
      <c r="D1" s="1" t="s">
        <v>10</v>
      </c>
      <c r="E1" t="s">
        <v>15</v>
      </c>
      <c r="F1" t="s">
        <v>14</v>
      </c>
      <c r="G1" t="s">
        <v>13</v>
      </c>
      <c r="H1" t="s">
        <v>12</v>
      </c>
      <c r="I1" t="s">
        <v>16</v>
      </c>
      <c r="J1" t="s">
        <v>11</v>
      </c>
      <c r="K1" t="s">
        <v>27</v>
      </c>
    </row>
    <row r="2" spans="1:14" x14ac:dyDescent="0.25">
      <c r="A2" t="s">
        <v>2</v>
      </c>
      <c r="B2" t="s">
        <v>5</v>
      </c>
      <c r="C2" t="s">
        <v>4</v>
      </c>
      <c r="D2" s="1">
        <v>46027</v>
      </c>
      <c r="E2">
        <v>64763.524799999999</v>
      </c>
      <c r="F2">
        <v>370</v>
      </c>
      <c r="G2">
        <v>10502</v>
      </c>
      <c r="H2">
        <v>64763.524799999999</v>
      </c>
      <c r="I2">
        <v>370</v>
      </c>
      <c r="J2">
        <v>10502</v>
      </c>
      <c r="K2">
        <f>DAY(Raport[[#This Row],[Dzień]])</f>
        <v>5</v>
      </c>
      <c r="M2" t="s">
        <v>26</v>
      </c>
      <c r="N2" t="s">
        <v>25</v>
      </c>
    </row>
    <row r="3" spans="1:14" x14ac:dyDescent="0.25">
      <c r="A3" t="s">
        <v>2</v>
      </c>
      <c r="B3" t="s">
        <v>3</v>
      </c>
      <c r="C3" t="s">
        <v>4</v>
      </c>
      <c r="D3" s="1">
        <v>46027</v>
      </c>
      <c r="E3">
        <v>64763.524799999999</v>
      </c>
      <c r="F3">
        <v>370</v>
      </c>
      <c r="G3">
        <v>10502</v>
      </c>
      <c r="H3">
        <v>64763.524799999999</v>
      </c>
      <c r="I3">
        <v>370</v>
      </c>
      <c r="J3">
        <v>10502</v>
      </c>
      <c r="K3">
        <f>DAY(Raport[[#This Row],[Dzień]])</f>
        <v>5</v>
      </c>
      <c r="M3" s="2" t="s">
        <v>0</v>
      </c>
      <c r="N3" s="2" t="s">
        <v>0</v>
      </c>
    </row>
    <row r="4" spans="1:14" x14ac:dyDescent="0.25">
      <c r="A4" t="s">
        <v>2</v>
      </c>
      <c r="B4" t="s">
        <v>5</v>
      </c>
      <c r="C4" t="s">
        <v>4</v>
      </c>
      <c r="D4" s="1">
        <v>46028</v>
      </c>
      <c r="E4">
        <v>12926.057144</v>
      </c>
      <c r="F4">
        <v>101.73333333333333</v>
      </c>
      <c r="G4">
        <v>7623</v>
      </c>
      <c r="H4">
        <v>165033.37570399998</v>
      </c>
      <c r="I4">
        <v>921.7833333333333</v>
      </c>
      <c r="J4">
        <v>10742</v>
      </c>
      <c r="K4">
        <f>DAY(Raport[[#This Row],[Dzień]])</f>
        <v>6</v>
      </c>
      <c r="M4" s="3" t="s">
        <v>1</v>
      </c>
      <c r="N4" s="3" t="s">
        <v>1</v>
      </c>
    </row>
    <row r="5" spans="1:14" x14ac:dyDescent="0.25">
      <c r="A5" t="s">
        <v>2</v>
      </c>
      <c r="B5" t="s">
        <v>6</v>
      </c>
      <c r="C5" t="s">
        <v>4</v>
      </c>
      <c r="D5" s="1">
        <v>46028</v>
      </c>
      <c r="E5">
        <v>4209.6291119999996</v>
      </c>
      <c r="F5">
        <v>17.716666666666669</v>
      </c>
      <c r="G5">
        <v>14257</v>
      </c>
      <c r="H5">
        <v>4209.6291119999996</v>
      </c>
      <c r="I5">
        <v>17.716666666666669</v>
      </c>
      <c r="J5">
        <v>14257</v>
      </c>
      <c r="K5">
        <f>DAY(Raport[[#This Row],[Dzień]])</f>
        <v>6</v>
      </c>
      <c r="M5" s="3" t="s">
        <v>9</v>
      </c>
      <c r="N5" s="3" t="s">
        <v>17</v>
      </c>
    </row>
    <row r="6" spans="1:14" x14ac:dyDescent="0.25">
      <c r="A6" t="s">
        <v>2</v>
      </c>
      <c r="B6" t="s">
        <v>7</v>
      </c>
      <c r="C6" t="s">
        <v>4</v>
      </c>
      <c r="D6" s="1">
        <v>46028</v>
      </c>
      <c r="E6">
        <v>83240.933775999991</v>
      </c>
      <c r="F6">
        <v>359.15000000000003</v>
      </c>
      <c r="G6">
        <v>13906</v>
      </c>
      <c r="H6">
        <v>174977.08706399999</v>
      </c>
      <c r="I6">
        <v>839.15000000000009</v>
      </c>
      <c r="J6">
        <v>12511</v>
      </c>
      <c r="K6">
        <f>DAY(Raport[[#This Row],[Dzień]])</f>
        <v>6</v>
      </c>
      <c r="M6" s="5" t="s">
        <v>10</v>
      </c>
      <c r="N6" s="5" t="s">
        <v>18</v>
      </c>
    </row>
    <row r="7" spans="1:14" x14ac:dyDescent="0.25">
      <c r="A7" t="s">
        <v>8</v>
      </c>
      <c r="B7" t="s">
        <v>7</v>
      </c>
      <c r="C7" t="s">
        <v>4</v>
      </c>
      <c r="D7" s="1">
        <v>46028</v>
      </c>
      <c r="E7">
        <v>1515.1814400000001</v>
      </c>
      <c r="F7">
        <v>92.85</v>
      </c>
      <c r="G7">
        <v>979</v>
      </c>
      <c r="H7">
        <v>25546.592196999998</v>
      </c>
      <c r="I7">
        <v>955.85</v>
      </c>
      <c r="J7">
        <v>1604</v>
      </c>
      <c r="K7">
        <f>DAY(Raport[[#This Row],[Dzień]])</f>
        <v>6</v>
      </c>
      <c r="M7" s="3" t="s">
        <v>15</v>
      </c>
      <c r="N7" s="3" t="s">
        <v>19</v>
      </c>
    </row>
    <row r="8" spans="1:14" x14ac:dyDescent="0.25">
      <c r="A8" t="s">
        <v>8</v>
      </c>
      <c r="B8" t="s">
        <v>5</v>
      </c>
      <c r="C8" t="s">
        <v>4</v>
      </c>
      <c r="D8" s="1">
        <v>46028</v>
      </c>
      <c r="E8">
        <v>8107.5806700000003</v>
      </c>
      <c r="F8">
        <v>358.26666666666665</v>
      </c>
      <c r="G8">
        <v>1358</v>
      </c>
      <c r="H8">
        <v>8107.5806700000003</v>
      </c>
      <c r="I8">
        <v>358.26666666666665</v>
      </c>
      <c r="J8">
        <v>1358</v>
      </c>
      <c r="K8">
        <f>DAY(Raport[[#This Row],[Dzień]])</f>
        <v>6</v>
      </c>
      <c r="M8" s="3" t="s">
        <v>14</v>
      </c>
      <c r="N8" s="3" t="s">
        <v>20</v>
      </c>
    </row>
    <row r="9" spans="1:14" x14ac:dyDescent="0.25">
      <c r="A9" t="s">
        <v>8</v>
      </c>
      <c r="B9" t="s">
        <v>6</v>
      </c>
      <c r="C9" t="s">
        <v>4</v>
      </c>
      <c r="D9" s="1">
        <v>46028</v>
      </c>
      <c r="E9">
        <v>17630.616907</v>
      </c>
      <c r="F9">
        <v>447.28333333333325</v>
      </c>
      <c r="G9">
        <v>2365</v>
      </c>
      <c r="H9">
        <v>24235.672627</v>
      </c>
      <c r="I9">
        <v>630.44999999999993</v>
      </c>
      <c r="J9">
        <v>2307</v>
      </c>
      <c r="K9">
        <f>DAY(Raport[[#This Row],[Dzień]])</f>
        <v>6</v>
      </c>
      <c r="M9" s="3" t="s">
        <v>13</v>
      </c>
      <c r="N9" s="3" t="s">
        <v>21</v>
      </c>
    </row>
    <row r="10" spans="1:14" x14ac:dyDescent="0.25">
      <c r="A10" t="s">
        <v>2</v>
      </c>
      <c r="B10" t="s">
        <v>3</v>
      </c>
      <c r="C10" t="s">
        <v>4</v>
      </c>
      <c r="D10" s="1">
        <v>46028</v>
      </c>
      <c r="E10">
        <v>100376.62003200001</v>
      </c>
      <c r="F10">
        <v>478.6</v>
      </c>
      <c r="G10">
        <v>12584</v>
      </c>
      <c r="H10">
        <v>165140.14483200002</v>
      </c>
      <c r="I10">
        <v>848.6</v>
      </c>
      <c r="J10">
        <v>11676</v>
      </c>
      <c r="K10">
        <f>DAY(Raport[[#This Row],[Dzień]])</f>
        <v>6</v>
      </c>
      <c r="M10" s="3" t="s">
        <v>12</v>
      </c>
      <c r="N10" s="3" t="s">
        <v>22</v>
      </c>
    </row>
    <row r="11" spans="1:14" x14ac:dyDescent="0.25">
      <c r="A11" t="s">
        <v>8</v>
      </c>
      <c r="B11" t="s">
        <v>3</v>
      </c>
      <c r="C11" t="s">
        <v>4</v>
      </c>
      <c r="D11" s="1">
        <v>46028</v>
      </c>
      <c r="E11">
        <v>27253.379016999999</v>
      </c>
      <c r="F11">
        <v>898.4</v>
      </c>
      <c r="G11">
        <v>1820</v>
      </c>
      <c r="H11">
        <v>47718.473889000001</v>
      </c>
      <c r="I11">
        <v>1675.2833333333333</v>
      </c>
      <c r="J11">
        <v>1709</v>
      </c>
      <c r="K11">
        <f>DAY(Raport[[#This Row],[Dzień]])</f>
        <v>6</v>
      </c>
      <c r="M11" s="3" t="s">
        <v>16</v>
      </c>
      <c r="N11" s="3" t="s">
        <v>23</v>
      </c>
    </row>
    <row r="12" spans="1:14" x14ac:dyDescent="0.25">
      <c r="A12" t="s">
        <v>2</v>
      </c>
      <c r="B12" t="s">
        <v>5</v>
      </c>
      <c r="C12" t="s">
        <v>4</v>
      </c>
      <c r="D12" s="1">
        <v>46029</v>
      </c>
      <c r="E12">
        <v>32175.423279999999</v>
      </c>
      <c r="F12">
        <v>185.41666666666666</v>
      </c>
      <c r="G12">
        <v>10412</v>
      </c>
      <c r="H12">
        <v>197208.79898399996</v>
      </c>
      <c r="I12">
        <v>1107.2</v>
      </c>
      <c r="J12">
        <v>10687</v>
      </c>
      <c r="K12">
        <f>DAY(Raport[[#This Row],[Dzień]])</f>
        <v>7</v>
      </c>
      <c r="M12" s="4" t="s">
        <v>11</v>
      </c>
      <c r="N12" s="4" t="s">
        <v>24</v>
      </c>
    </row>
    <row r="13" spans="1:14" x14ac:dyDescent="0.25">
      <c r="A13" t="s">
        <v>2</v>
      </c>
      <c r="B13" t="s">
        <v>6</v>
      </c>
      <c r="C13" t="s">
        <v>4</v>
      </c>
      <c r="D13" s="1">
        <v>46029</v>
      </c>
      <c r="E13">
        <v>17270.273280000001</v>
      </c>
      <c r="F13">
        <v>132.65</v>
      </c>
      <c r="G13">
        <v>7812</v>
      </c>
      <c r="H13">
        <v>170495.99692799998</v>
      </c>
      <c r="I13">
        <v>993.36666666666667</v>
      </c>
      <c r="J13">
        <v>10298</v>
      </c>
      <c r="K13">
        <f>DAY(Raport[[#This Row],[Dzień]])</f>
        <v>7</v>
      </c>
    </row>
    <row r="14" spans="1:14" x14ac:dyDescent="0.25">
      <c r="A14" t="s">
        <v>2</v>
      </c>
      <c r="B14" t="s">
        <v>7</v>
      </c>
      <c r="C14" t="s">
        <v>4</v>
      </c>
      <c r="D14" s="1">
        <v>46029</v>
      </c>
      <c r="E14">
        <v>91736.153288000001</v>
      </c>
      <c r="F14">
        <v>480</v>
      </c>
      <c r="G14">
        <v>11467</v>
      </c>
      <c r="H14">
        <v>91736.153288000001</v>
      </c>
      <c r="I14">
        <v>480</v>
      </c>
      <c r="J14">
        <v>11467</v>
      </c>
      <c r="K14">
        <f>DAY(Raport[[#This Row],[Dzień]])</f>
        <v>7</v>
      </c>
    </row>
    <row r="15" spans="1:14" x14ac:dyDescent="0.25">
      <c r="A15" t="s">
        <v>8</v>
      </c>
      <c r="B15" t="s">
        <v>5</v>
      </c>
      <c r="C15" t="s">
        <v>4</v>
      </c>
      <c r="D15" s="1">
        <v>46029</v>
      </c>
      <c r="E15">
        <v>4879.6805999999997</v>
      </c>
      <c r="F15">
        <v>274.58333333333337</v>
      </c>
      <c r="G15">
        <v>1066</v>
      </c>
      <c r="H15">
        <v>12987.261269999999</v>
      </c>
      <c r="I15">
        <v>632.85</v>
      </c>
      <c r="J15">
        <v>1231</v>
      </c>
      <c r="K15">
        <f>DAY(Raport[[#This Row],[Dzień]])</f>
        <v>7</v>
      </c>
    </row>
    <row r="16" spans="1:14" x14ac:dyDescent="0.25">
      <c r="A16" t="s">
        <v>8</v>
      </c>
      <c r="B16" t="s">
        <v>6</v>
      </c>
      <c r="C16" t="s">
        <v>4</v>
      </c>
      <c r="D16" s="1">
        <v>46029</v>
      </c>
      <c r="E16">
        <v>6905.4098400000003</v>
      </c>
      <c r="F16">
        <v>327.35000000000002</v>
      </c>
      <c r="G16">
        <v>1266</v>
      </c>
      <c r="H16">
        <v>31141.082467</v>
      </c>
      <c r="I16">
        <v>957.8</v>
      </c>
      <c r="J16">
        <v>1951</v>
      </c>
      <c r="K16">
        <f>DAY(Raport[[#This Row],[Dzień]])</f>
        <v>7</v>
      </c>
    </row>
    <row r="17" spans="1:11" x14ac:dyDescent="0.25">
      <c r="A17" t="s">
        <v>2</v>
      </c>
      <c r="B17" t="s">
        <v>3</v>
      </c>
      <c r="C17" t="s">
        <v>4</v>
      </c>
      <c r="D17" s="1">
        <v>46029</v>
      </c>
      <c r="E17">
        <v>141181.84984799998</v>
      </c>
      <c r="F17">
        <v>798.06666666666661</v>
      </c>
      <c r="G17">
        <v>10614</v>
      </c>
      <c r="H17">
        <v>497528.17012000002</v>
      </c>
      <c r="I17">
        <v>2762.583333333333</v>
      </c>
      <c r="J17">
        <v>10806</v>
      </c>
      <c r="K17">
        <f>DAY(Raport[[#This Row],[Dzień]])</f>
        <v>7</v>
      </c>
    </row>
    <row r="18" spans="1:11" x14ac:dyDescent="0.25">
      <c r="A18" t="s">
        <v>8</v>
      </c>
      <c r="B18" t="s">
        <v>3</v>
      </c>
      <c r="C18" t="s">
        <v>4</v>
      </c>
      <c r="D18" s="1">
        <v>46029</v>
      </c>
      <c r="E18">
        <v>11785.09044</v>
      </c>
      <c r="F18">
        <v>601.93333333333339</v>
      </c>
      <c r="G18">
        <v>1175</v>
      </c>
      <c r="H18">
        <v>59503.564329000001</v>
      </c>
      <c r="I18">
        <v>2277.2166666666667</v>
      </c>
      <c r="J18">
        <v>1568</v>
      </c>
      <c r="K18">
        <f>DAY(Raport[[#This Row],[Dzień]])</f>
        <v>7</v>
      </c>
    </row>
    <row r="19" spans="1:11" x14ac:dyDescent="0.25">
      <c r="A19" t="s">
        <v>2</v>
      </c>
      <c r="B19" t="s">
        <v>6</v>
      </c>
      <c r="C19" t="s">
        <v>4</v>
      </c>
      <c r="D19" s="1">
        <v>46030</v>
      </c>
      <c r="E19">
        <v>57415.355640000002</v>
      </c>
      <c r="F19">
        <v>381.83333333333331</v>
      </c>
      <c r="G19">
        <v>9022</v>
      </c>
      <c r="H19">
        <v>227911.35256799997</v>
      </c>
      <c r="I19">
        <v>1375.2</v>
      </c>
      <c r="J19">
        <v>9944</v>
      </c>
      <c r="K19">
        <f>DAY(Raport[[#This Row],[Dzień]])</f>
        <v>8</v>
      </c>
    </row>
    <row r="20" spans="1:11" x14ac:dyDescent="0.25">
      <c r="A20" t="s">
        <v>2</v>
      </c>
      <c r="B20" t="s">
        <v>7</v>
      </c>
      <c r="C20" t="s">
        <v>4</v>
      </c>
      <c r="D20" s="1">
        <v>46030</v>
      </c>
      <c r="E20">
        <v>78504.713191999996</v>
      </c>
      <c r="F20">
        <v>365.3</v>
      </c>
      <c r="G20">
        <v>12894</v>
      </c>
      <c r="H20">
        <v>284172.20400000003</v>
      </c>
      <c r="I20">
        <v>1345.8000000000002</v>
      </c>
      <c r="J20">
        <v>12669</v>
      </c>
      <c r="K20">
        <f>DAY(Raport[[#This Row],[Dzień]])</f>
        <v>8</v>
      </c>
    </row>
    <row r="21" spans="1:11" x14ac:dyDescent="0.25">
      <c r="A21" t="s">
        <v>8</v>
      </c>
      <c r="B21" t="s">
        <v>7</v>
      </c>
      <c r="C21" t="s">
        <v>4</v>
      </c>
      <c r="D21" s="1">
        <v>46030</v>
      </c>
      <c r="E21">
        <v>6524.1548149999999</v>
      </c>
      <c r="F21">
        <v>114.7</v>
      </c>
      <c r="G21">
        <v>3413</v>
      </c>
      <c r="H21">
        <v>64067.807599</v>
      </c>
      <c r="I21">
        <v>2243.6333333333332</v>
      </c>
      <c r="J21">
        <v>1713</v>
      </c>
      <c r="K21">
        <f>DAY(Raport[[#This Row],[Dzień]])</f>
        <v>8</v>
      </c>
    </row>
    <row r="22" spans="1:11" x14ac:dyDescent="0.25">
      <c r="A22" t="s">
        <v>8</v>
      </c>
      <c r="B22" t="s">
        <v>5</v>
      </c>
      <c r="C22" t="s">
        <v>4</v>
      </c>
      <c r="D22" s="1">
        <v>46030</v>
      </c>
      <c r="E22">
        <v>20323.996009999999</v>
      </c>
      <c r="F22">
        <v>381</v>
      </c>
      <c r="G22">
        <v>3201</v>
      </c>
      <c r="H22">
        <v>40031.54406</v>
      </c>
      <c r="I22">
        <v>1293.1166666666668</v>
      </c>
      <c r="J22">
        <v>1857</v>
      </c>
      <c r="K22">
        <f>DAY(Raport[[#This Row],[Dzień]])</f>
        <v>8</v>
      </c>
    </row>
    <row r="23" spans="1:11" x14ac:dyDescent="0.25">
      <c r="A23" t="s">
        <v>8</v>
      </c>
      <c r="B23" t="s">
        <v>6</v>
      </c>
      <c r="C23" t="s">
        <v>4</v>
      </c>
      <c r="D23" s="1">
        <v>46030</v>
      </c>
      <c r="E23">
        <v>1865.2704000000001</v>
      </c>
      <c r="F23">
        <v>78.166666666666657</v>
      </c>
      <c r="G23">
        <v>1432</v>
      </c>
      <c r="H23">
        <v>1865.2704000000001</v>
      </c>
      <c r="I23">
        <v>78.166666666666657</v>
      </c>
      <c r="J23">
        <v>1432</v>
      </c>
      <c r="K23">
        <f>DAY(Raport[[#This Row],[Dzień]])</f>
        <v>8</v>
      </c>
    </row>
    <row r="24" spans="1:11" x14ac:dyDescent="0.25">
      <c r="A24" t="s">
        <v>2</v>
      </c>
      <c r="B24" t="s">
        <v>3</v>
      </c>
      <c r="C24" t="s">
        <v>4</v>
      </c>
      <c r="D24" s="1">
        <v>46030</v>
      </c>
      <c r="E24">
        <v>135920.06883199999</v>
      </c>
      <c r="F24">
        <v>747.13333333333333</v>
      </c>
      <c r="G24">
        <v>10915</v>
      </c>
      <c r="H24">
        <v>814123.42004</v>
      </c>
      <c r="I24">
        <v>4220.2</v>
      </c>
      <c r="J24">
        <v>11575</v>
      </c>
      <c r="K24">
        <f>DAY(Raport[[#This Row],[Dzień]])</f>
        <v>8</v>
      </c>
    </row>
    <row r="25" spans="1:11" x14ac:dyDescent="0.25">
      <c r="A25" t="s">
        <v>8</v>
      </c>
      <c r="B25" t="s">
        <v>3</v>
      </c>
      <c r="C25" t="s">
        <v>4</v>
      </c>
      <c r="D25" s="1">
        <v>46030</v>
      </c>
      <c r="E25">
        <v>28713.421224999998</v>
      </c>
      <c r="F25">
        <v>573.86666666666667</v>
      </c>
      <c r="G25">
        <v>3002</v>
      </c>
      <c r="H25">
        <v>88216.985553999999</v>
      </c>
      <c r="I25">
        <v>2851.0833333333335</v>
      </c>
      <c r="J25">
        <v>1856</v>
      </c>
      <c r="K25">
        <f>DAY(Raport[[#This Row],[Dzień]])</f>
        <v>8</v>
      </c>
    </row>
    <row r="26" spans="1:11" x14ac:dyDescent="0.25">
      <c r="A26" t="s">
        <v>2</v>
      </c>
      <c r="B26" t="s">
        <v>6</v>
      </c>
      <c r="C26" t="s">
        <v>4</v>
      </c>
      <c r="D26" s="1">
        <v>46031</v>
      </c>
      <c r="E26">
        <v>74423.649223999993</v>
      </c>
      <c r="F26">
        <v>390</v>
      </c>
      <c r="G26">
        <v>11450</v>
      </c>
      <c r="H26">
        <v>153225.72364799998</v>
      </c>
      <c r="I26">
        <v>860.7166666666667</v>
      </c>
      <c r="J26">
        <v>10681</v>
      </c>
      <c r="K26">
        <f>DAY(Raport[[#This Row],[Dzień]])</f>
        <v>9</v>
      </c>
    </row>
    <row r="27" spans="1:11" x14ac:dyDescent="0.25">
      <c r="A27" t="s">
        <v>2</v>
      </c>
      <c r="B27" t="s">
        <v>7</v>
      </c>
      <c r="C27" t="s">
        <v>4</v>
      </c>
      <c r="D27" s="1">
        <v>46031</v>
      </c>
      <c r="E27">
        <v>30690.403744000003</v>
      </c>
      <c r="F27">
        <v>141.35</v>
      </c>
      <c r="G27">
        <v>13027</v>
      </c>
      <c r="H27">
        <v>205667.490808</v>
      </c>
      <c r="I27">
        <v>980.50000000000011</v>
      </c>
      <c r="J27">
        <v>12585</v>
      </c>
      <c r="K27">
        <f>DAY(Raport[[#This Row],[Dzień]])</f>
        <v>9</v>
      </c>
    </row>
    <row r="28" spans="1:11" x14ac:dyDescent="0.25">
      <c r="A28" t="s">
        <v>8</v>
      </c>
      <c r="B28" t="s">
        <v>7</v>
      </c>
      <c r="C28" t="s">
        <v>4</v>
      </c>
      <c r="D28" s="1">
        <v>46031</v>
      </c>
      <c r="E28">
        <v>6741.8428839999997</v>
      </c>
      <c r="F28">
        <v>288.64999999999998</v>
      </c>
      <c r="G28">
        <v>1401</v>
      </c>
      <c r="H28">
        <v>57543.652783999998</v>
      </c>
      <c r="I28">
        <v>2128.9333333333334</v>
      </c>
      <c r="J28">
        <v>1622</v>
      </c>
      <c r="K28">
        <f>DAY(Raport[[#This Row],[Dzień]])</f>
        <v>9</v>
      </c>
    </row>
    <row r="29" spans="1:11" x14ac:dyDescent="0.25">
      <c r="A29" t="s">
        <v>2</v>
      </c>
      <c r="B29" t="s">
        <v>3</v>
      </c>
      <c r="C29" t="s">
        <v>4</v>
      </c>
      <c r="D29" s="1">
        <v>46031</v>
      </c>
      <c r="E29">
        <v>105114.052968</v>
      </c>
      <c r="F29">
        <v>531.35</v>
      </c>
      <c r="G29">
        <v>11869</v>
      </c>
      <c r="H29">
        <v>356346.32027200004</v>
      </c>
      <c r="I29">
        <v>1964.5166666666664</v>
      </c>
      <c r="J29">
        <v>10883</v>
      </c>
      <c r="K29">
        <f>DAY(Raport[[#This Row],[Dzień]])</f>
        <v>9</v>
      </c>
    </row>
    <row r="30" spans="1:11" x14ac:dyDescent="0.25">
      <c r="A30" t="s">
        <v>8</v>
      </c>
      <c r="B30" t="s">
        <v>3</v>
      </c>
      <c r="C30" t="s">
        <v>4</v>
      </c>
      <c r="D30" s="1">
        <v>46031</v>
      </c>
      <c r="E30">
        <v>6741.8428839999997</v>
      </c>
      <c r="F30">
        <v>288.64999999999998</v>
      </c>
      <c r="G30">
        <v>1401</v>
      </c>
      <c r="H30">
        <v>180583.81994400002</v>
      </c>
      <c r="I30">
        <v>6121.2333333333327</v>
      </c>
      <c r="J30">
        <v>1770</v>
      </c>
      <c r="K30">
        <f>DAY(Raport[[#This Row],[Dzień]])</f>
        <v>9</v>
      </c>
    </row>
    <row r="31" spans="1:11" x14ac:dyDescent="0.25">
      <c r="D31" s="1">
        <v>46032</v>
      </c>
      <c r="E31">
        <v>0</v>
      </c>
      <c r="F31">
        <v>0</v>
      </c>
      <c r="K31">
        <f>DAY(Raport[[#This Row],[Dzień]])</f>
        <v>10</v>
      </c>
    </row>
    <row r="32" spans="1:11" x14ac:dyDescent="0.25">
      <c r="D32" s="1">
        <v>46033</v>
      </c>
      <c r="E32">
        <v>0</v>
      </c>
      <c r="F32">
        <v>0</v>
      </c>
      <c r="K32">
        <f>DAY(Raport[[#This Row],[Dzień]])</f>
        <v>11</v>
      </c>
    </row>
    <row r="33" spans="1:11" x14ac:dyDescent="0.25">
      <c r="A33" t="s">
        <v>8</v>
      </c>
      <c r="B33" t="s">
        <v>6</v>
      </c>
      <c r="C33" t="s">
        <v>4</v>
      </c>
      <c r="D33" s="1">
        <v>46034</v>
      </c>
      <c r="E33">
        <v>12276.105946</v>
      </c>
      <c r="F33">
        <v>395</v>
      </c>
      <c r="G33">
        <v>1865</v>
      </c>
      <c r="H33">
        <v>43417.188412999996</v>
      </c>
      <c r="I33">
        <v>1352.8</v>
      </c>
      <c r="J33">
        <v>1926</v>
      </c>
      <c r="K33">
        <f>DAY(Raport[[#This Row],[Dzień]])</f>
        <v>12</v>
      </c>
    </row>
    <row r="34" spans="1:11" x14ac:dyDescent="0.25">
      <c r="A34" t="s">
        <v>8</v>
      </c>
      <c r="B34" t="s">
        <v>3</v>
      </c>
      <c r="C34" t="s">
        <v>4</v>
      </c>
      <c r="D34" s="1">
        <v>46034</v>
      </c>
      <c r="E34">
        <v>12276.105946</v>
      </c>
      <c r="F34">
        <v>395</v>
      </c>
      <c r="G34">
        <v>1865</v>
      </c>
      <c r="H34">
        <v>146880.454184</v>
      </c>
      <c r="I34">
        <v>4633.3166666666666</v>
      </c>
      <c r="J34">
        <v>1902</v>
      </c>
      <c r="K34">
        <f>DAY(Raport[[#This Row],[Dzień]])</f>
        <v>12</v>
      </c>
    </row>
    <row r="35" spans="1:11" x14ac:dyDescent="0.25">
      <c r="A35" t="s">
        <v>2</v>
      </c>
      <c r="B35" t="s">
        <v>5</v>
      </c>
      <c r="C35" t="s">
        <v>4</v>
      </c>
      <c r="D35" s="1">
        <v>46035</v>
      </c>
      <c r="E35">
        <v>11499.677159999999</v>
      </c>
      <c r="F35">
        <v>131.56666666666666</v>
      </c>
      <c r="G35">
        <v>5244</v>
      </c>
      <c r="H35">
        <v>76263.201960000006</v>
      </c>
      <c r="I35">
        <v>501.56666666666666</v>
      </c>
      <c r="J35">
        <v>9123</v>
      </c>
      <c r="K35">
        <f>DAY(Raport[[#This Row],[Dzień]])</f>
        <v>13</v>
      </c>
    </row>
    <row r="36" spans="1:11" x14ac:dyDescent="0.25">
      <c r="A36" t="s">
        <v>2</v>
      </c>
      <c r="B36" t="s">
        <v>6</v>
      </c>
      <c r="C36" t="s">
        <v>4</v>
      </c>
      <c r="D36" s="1">
        <v>46035</v>
      </c>
      <c r="E36">
        <v>74592.445311999996</v>
      </c>
      <c r="F36">
        <v>453</v>
      </c>
      <c r="G36">
        <v>9880</v>
      </c>
      <c r="H36">
        <v>78802.074423999991</v>
      </c>
      <c r="I36">
        <v>470.7166666666667</v>
      </c>
      <c r="J36">
        <v>10045</v>
      </c>
      <c r="K36">
        <f>DAY(Raport[[#This Row],[Dzień]])</f>
        <v>13</v>
      </c>
    </row>
    <row r="37" spans="1:11" x14ac:dyDescent="0.25">
      <c r="A37" t="s">
        <v>8</v>
      </c>
      <c r="B37" t="s">
        <v>7</v>
      </c>
      <c r="C37" t="s">
        <v>4</v>
      </c>
      <c r="D37" s="1">
        <v>46035</v>
      </c>
      <c r="E37">
        <v>1984.91356</v>
      </c>
      <c r="F37">
        <v>31</v>
      </c>
      <c r="G37">
        <v>3842</v>
      </c>
      <c r="H37">
        <v>86227.283846999999</v>
      </c>
      <c r="I37">
        <v>2710.6333333333332</v>
      </c>
      <c r="J37">
        <v>1909</v>
      </c>
      <c r="K37">
        <f>DAY(Raport[[#This Row],[Dzień]])</f>
        <v>13</v>
      </c>
    </row>
    <row r="38" spans="1:11" x14ac:dyDescent="0.25">
      <c r="A38" t="s">
        <v>8</v>
      </c>
      <c r="B38" t="s">
        <v>5</v>
      </c>
      <c r="C38" t="s">
        <v>4</v>
      </c>
      <c r="D38" s="1">
        <v>46035</v>
      </c>
      <c r="E38">
        <v>12423.698350000001</v>
      </c>
      <c r="F38">
        <v>268.43333333333334</v>
      </c>
      <c r="G38">
        <v>2777</v>
      </c>
      <c r="H38">
        <v>84628.296742000006</v>
      </c>
      <c r="I38">
        <v>2475.8500000000004</v>
      </c>
      <c r="J38">
        <v>2051</v>
      </c>
      <c r="K38">
        <f>DAY(Raport[[#This Row],[Dzień]])</f>
        <v>13</v>
      </c>
    </row>
    <row r="39" spans="1:11" x14ac:dyDescent="0.25">
      <c r="A39" t="s">
        <v>2</v>
      </c>
      <c r="B39" t="s">
        <v>3</v>
      </c>
      <c r="C39" t="s">
        <v>4</v>
      </c>
      <c r="D39" s="1">
        <v>46035</v>
      </c>
      <c r="E39">
        <v>86092.122472000003</v>
      </c>
      <c r="F39">
        <v>584.56666666666661</v>
      </c>
      <c r="G39">
        <v>8837</v>
      </c>
      <c r="H39">
        <v>251232.26730400004</v>
      </c>
      <c r="I39">
        <v>1433.1666666666665</v>
      </c>
      <c r="J39">
        <v>10518</v>
      </c>
      <c r="K39">
        <f>DAY(Raport[[#This Row],[Dzień]])</f>
        <v>13</v>
      </c>
    </row>
    <row r="40" spans="1:11" x14ac:dyDescent="0.25">
      <c r="A40" t="s">
        <v>8</v>
      </c>
      <c r="B40" t="s">
        <v>3</v>
      </c>
      <c r="C40" t="s">
        <v>4</v>
      </c>
      <c r="D40" s="1">
        <v>46035</v>
      </c>
      <c r="E40">
        <v>14408.61191</v>
      </c>
      <c r="F40">
        <v>299.43333333333334</v>
      </c>
      <c r="G40">
        <v>2887</v>
      </c>
      <c r="H40">
        <v>273990.96244600002</v>
      </c>
      <c r="I40">
        <v>9462.9666666666653</v>
      </c>
      <c r="J40">
        <v>1737</v>
      </c>
      <c r="K40">
        <f>DAY(Raport[[#This Row],[Dzień]])</f>
        <v>13</v>
      </c>
    </row>
    <row r="41" spans="1:11" x14ac:dyDescent="0.25">
      <c r="A41" t="s">
        <v>2</v>
      </c>
      <c r="B41" t="s">
        <v>6</v>
      </c>
      <c r="C41" t="s">
        <v>4</v>
      </c>
      <c r="D41" s="1">
        <v>46036</v>
      </c>
      <c r="E41">
        <v>32381.7624</v>
      </c>
      <c r="F41">
        <v>130.19999999999999</v>
      </c>
      <c r="G41">
        <v>14922</v>
      </c>
      <c r="H41">
        <v>260293.11496799998</v>
      </c>
      <c r="I41">
        <v>1505.4</v>
      </c>
      <c r="J41">
        <v>10374</v>
      </c>
      <c r="K41">
        <f>DAY(Raport[[#This Row],[Dzień]])</f>
        <v>14</v>
      </c>
    </row>
    <row r="42" spans="1:11" x14ac:dyDescent="0.25">
      <c r="A42" t="s">
        <v>2</v>
      </c>
      <c r="B42" t="s">
        <v>7</v>
      </c>
      <c r="C42" t="s">
        <v>4</v>
      </c>
      <c r="D42" s="1">
        <v>46036</v>
      </c>
      <c r="E42">
        <v>14650.595960000001</v>
      </c>
      <c r="F42">
        <v>35.566666666666663</v>
      </c>
      <c r="G42">
        <v>24715</v>
      </c>
      <c r="H42">
        <v>298822.79996000003</v>
      </c>
      <c r="I42">
        <v>1381.3666666666668</v>
      </c>
      <c r="J42">
        <v>12979</v>
      </c>
      <c r="K42">
        <f>DAY(Raport[[#This Row],[Dzień]])</f>
        <v>14</v>
      </c>
    </row>
    <row r="43" spans="1:11" x14ac:dyDescent="0.25">
      <c r="A43" t="s">
        <v>8</v>
      </c>
      <c r="B43" t="s">
        <v>7</v>
      </c>
      <c r="C43" t="s">
        <v>4</v>
      </c>
      <c r="D43" s="1">
        <v>46036</v>
      </c>
      <c r="E43">
        <v>9978.9764869999999</v>
      </c>
      <c r="F43">
        <v>424.43333333333339</v>
      </c>
      <c r="G43">
        <v>1411</v>
      </c>
      <c r="H43">
        <v>35525.568683999998</v>
      </c>
      <c r="I43">
        <v>1380.2833333333333</v>
      </c>
      <c r="J43">
        <v>1544</v>
      </c>
      <c r="K43">
        <f>DAY(Raport[[#This Row],[Dzień]])</f>
        <v>14</v>
      </c>
    </row>
    <row r="44" spans="1:11" x14ac:dyDescent="0.25">
      <c r="A44" t="s">
        <v>8</v>
      </c>
      <c r="B44" t="s">
        <v>5</v>
      </c>
      <c r="C44" t="s">
        <v>4</v>
      </c>
      <c r="D44" s="1">
        <v>46036</v>
      </c>
      <c r="E44">
        <v>21267.922792000001</v>
      </c>
      <c r="F44">
        <v>409</v>
      </c>
      <c r="G44">
        <v>3120</v>
      </c>
      <c r="H44">
        <v>65525.842751999997</v>
      </c>
      <c r="I44">
        <v>2065.9</v>
      </c>
      <c r="J44">
        <v>1903</v>
      </c>
      <c r="K44">
        <f>DAY(Raport[[#This Row],[Dzień]])</f>
        <v>14</v>
      </c>
    </row>
    <row r="45" spans="1:11" x14ac:dyDescent="0.25">
      <c r="A45" t="s">
        <v>8</v>
      </c>
      <c r="B45" t="s">
        <v>6</v>
      </c>
      <c r="C45" t="s">
        <v>4</v>
      </c>
      <c r="D45" s="1">
        <v>46036</v>
      </c>
      <c r="E45">
        <v>3338.2937999999999</v>
      </c>
      <c r="F45">
        <v>45.8</v>
      </c>
      <c r="G45">
        <v>4373</v>
      </c>
      <c r="H45">
        <v>76643.320977999989</v>
      </c>
      <c r="I45">
        <v>2651.6000000000004</v>
      </c>
      <c r="J45">
        <v>1734</v>
      </c>
      <c r="K45">
        <f>DAY(Raport[[#This Row],[Dzień]])</f>
        <v>14</v>
      </c>
    </row>
    <row r="46" spans="1:11" x14ac:dyDescent="0.25">
      <c r="A46" t="s">
        <v>2</v>
      </c>
      <c r="B46" t="s">
        <v>3</v>
      </c>
      <c r="C46" t="s">
        <v>4</v>
      </c>
      <c r="D46" s="1">
        <v>46036</v>
      </c>
      <c r="E46">
        <v>47032.358359999998</v>
      </c>
      <c r="F46">
        <v>165.76666666666665</v>
      </c>
      <c r="G46">
        <v>17024</v>
      </c>
      <c r="H46">
        <v>861155.77839999995</v>
      </c>
      <c r="I46">
        <v>4385.9666666666662</v>
      </c>
      <c r="J46">
        <v>11781</v>
      </c>
      <c r="K46">
        <f>DAY(Raport[[#This Row],[Dzień]])</f>
        <v>14</v>
      </c>
    </row>
    <row r="47" spans="1:11" x14ac:dyDescent="0.25">
      <c r="A47" t="s">
        <v>8</v>
      </c>
      <c r="B47" t="s">
        <v>3</v>
      </c>
      <c r="C47" t="s">
        <v>4</v>
      </c>
      <c r="D47" s="1">
        <v>46036</v>
      </c>
      <c r="E47">
        <v>34585.193079000004</v>
      </c>
      <c r="F47">
        <v>879.23333333333335</v>
      </c>
      <c r="G47">
        <v>2360</v>
      </c>
      <c r="H47">
        <v>134604.34823800001</v>
      </c>
      <c r="I47">
        <v>4238.3166666666666</v>
      </c>
      <c r="J47">
        <v>1906</v>
      </c>
      <c r="K47">
        <f>DAY(Raport[[#This Row],[Dzień]])</f>
        <v>14</v>
      </c>
    </row>
    <row r="48" spans="1:11" x14ac:dyDescent="0.25">
      <c r="A48" t="s">
        <v>2</v>
      </c>
      <c r="B48" t="s">
        <v>5</v>
      </c>
      <c r="C48" t="s">
        <v>4</v>
      </c>
      <c r="D48" s="1">
        <v>46037</v>
      </c>
      <c r="E48">
        <v>75844.116599999994</v>
      </c>
      <c r="F48">
        <v>318.48333333333335</v>
      </c>
      <c r="G48">
        <v>14288</v>
      </c>
      <c r="H48">
        <v>152107.31855999999</v>
      </c>
      <c r="I48">
        <v>820.05</v>
      </c>
      <c r="J48">
        <v>11129</v>
      </c>
      <c r="K48">
        <f>DAY(Raport[[#This Row],[Dzień]])</f>
        <v>15</v>
      </c>
    </row>
    <row r="49" spans="1:11" x14ac:dyDescent="0.25">
      <c r="A49" t="s">
        <v>2</v>
      </c>
      <c r="B49" t="s">
        <v>7</v>
      </c>
      <c r="C49" t="s">
        <v>4</v>
      </c>
      <c r="D49" s="1">
        <v>46037</v>
      </c>
      <c r="E49">
        <v>104831.06448799999</v>
      </c>
      <c r="F49">
        <v>392</v>
      </c>
      <c r="G49">
        <v>16046</v>
      </c>
      <c r="H49">
        <v>403653.86444800004</v>
      </c>
      <c r="I49">
        <v>1773.3666666666668</v>
      </c>
      <c r="J49">
        <v>13657</v>
      </c>
      <c r="K49">
        <f>DAY(Raport[[#This Row],[Dzień]])</f>
        <v>15</v>
      </c>
    </row>
    <row r="50" spans="1:11" x14ac:dyDescent="0.25">
      <c r="A50" t="s">
        <v>8</v>
      </c>
      <c r="B50" t="s">
        <v>5</v>
      </c>
      <c r="C50" t="s">
        <v>4</v>
      </c>
      <c r="D50" s="1">
        <v>46037</v>
      </c>
      <c r="E50">
        <v>6678.7556400000003</v>
      </c>
      <c r="F50">
        <v>141.51666666666665</v>
      </c>
      <c r="G50">
        <v>2832</v>
      </c>
      <c r="H50">
        <v>72204.598392</v>
      </c>
      <c r="I50">
        <v>2207.416666666667</v>
      </c>
      <c r="J50">
        <v>1963</v>
      </c>
      <c r="K50">
        <f>DAY(Raport[[#This Row],[Dzień]])</f>
        <v>15</v>
      </c>
    </row>
    <row r="51" spans="1:11" x14ac:dyDescent="0.25">
      <c r="A51" t="s">
        <v>8</v>
      </c>
      <c r="B51" t="s">
        <v>6</v>
      </c>
      <c r="C51" t="s">
        <v>4</v>
      </c>
      <c r="D51" s="1">
        <v>46037</v>
      </c>
      <c r="E51">
        <v>3923.1409600000002</v>
      </c>
      <c r="F51">
        <v>266</v>
      </c>
      <c r="G51">
        <v>885</v>
      </c>
      <c r="H51">
        <v>47340.329372999993</v>
      </c>
      <c r="I51">
        <v>1618.8</v>
      </c>
      <c r="J51">
        <v>1755</v>
      </c>
      <c r="K51">
        <f>DAY(Raport[[#This Row],[Dzień]])</f>
        <v>15</v>
      </c>
    </row>
    <row r="52" spans="1:11" x14ac:dyDescent="0.25">
      <c r="A52" t="s">
        <v>2</v>
      </c>
      <c r="B52" t="s">
        <v>3</v>
      </c>
      <c r="C52" t="s">
        <v>4</v>
      </c>
      <c r="D52" s="1">
        <v>46037</v>
      </c>
      <c r="E52">
        <v>180675.18108799998</v>
      </c>
      <c r="F52">
        <v>710.48333333333346</v>
      </c>
      <c r="G52">
        <v>15258</v>
      </c>
      <c r="H52">
        <v>678203.35120799998</v>
      </c>
      <c r="I52">
        <v>3473.0666666666666</v>
      </c>
      <c r="J52">
        <v>11717</v>
      </c>
      <c r="K52">
        <f>DAY(Raport[[#This Row],[Dzień]])</f>
        <v>15</v>
      </c>
    </row>
    <row r="53" spans="1:11" x14ac:dyDescent="0.25">
      <c r="A53" t="s">
        <v>8</v>
      </c>
      <c r="B53" t="s">
        <v>3</v>
      </c>
      <c r="C53" t="s">
        <v>4</v>
      </c>
      <c r="D53" s="1">
        <v>46037</v>
      </c>
      <c r="E53">
        <v>10601.8966</v>
      </c>
      <c r="F53">
        <v>407.51666666666665</v>
      </c>
      <c r="G53">
        <v>1561</v>
      </c>
      <c r="H53">
        <v>195412.09244400004</v>
      </c>
      <c r="I53">
        <v>6892.5333333333328</v>
      </c>
      <c r="J53">
        <v>1701</v>
      </c>
      <c r="K53">
        <f>DAY(Raport[[#This Row],[Dzień]])</f>
        <v>15</v>
      </c>
    </row>
    <row r="54" spans="1:11" x14ac:dyDescent="0.25">
      <c r="A54" t="s">
        <v>8</v>
      </c>
      <c r="B54" t="s">
        <v>7</v>
      </c>
      <c r="C54" t="s">
        <v>4</v>
      </c>
      <c r="D54" s="1">
        <v>46038</v>
      </c>
      <c r="E54">
        <v>10837.454676000001</v>
      </c>
      <c r="F54">
        <v>460</v>
      </c>
      <c r="G54">
        <v>1414</v>
      </c>
      <c r="H54">
        <v>130557.30383799999</v>
      </c>
      <c r="I54">
        <v>4228.5333333333328</v>
      </c>
      <c r="J54">
        <v>1853</v>
      </c>
      <c r="K54">
        <f>DAY(Raport[[#This Row],[Dzień]])</f>
        <v>16</v>
      </c>
    </row>
    <row r="55" spans="1:11" x14ac:dyDescent="0.25">
      <c r="A55" t="s">
        <v>8</v>
      </c>
      <c r="B55" t="s">
        <v>5</v>
      </c>
      <c r="C55" t="s">
        <v>4</v>
      </c>
      <c r="D55" s="1">
        <v>46038</v>
      </c>
      <c r="E55">
        <v>13166.999448</v>
      </c>
      <c r="F55">
        <v>459.99999999999994</v>
      </c>
      <c r="G55">
        <v>1717</v>
      </c>
      <c r="H55">
        <v>97795.296190000008</v>
      </c>
      <c r="I55">
        <v>2935.8500000000004</v>
      </c>
      <c r="J55">
        <v>1999</v>
      </c>
      <c r="K55">
        <f>DAY(Raport[[#This Row],[Dzień]])</f>
        <v>16</v>
      </c>
    </row>
    <row r="56" spans="1:11" x14ac:dyDescent="0.25">
      <c r="A56" t="s">
        <v>8</v>
      </c>
      <c r="B56" t="s">
        <v>6</v>
      </c>
      <c r="C56" t="s">
        <v>4</v>
      </c>
      <c r="D56" s="1">
        <v>46038</v>
      </c>
      <c r="E56">
        <v>5207.7609599999996</v>
      </c>
      <c r="F56">
        <v>460</v>
      </c>
      <c r="G56">
        <v>679</v>
      </c>
      <c r="H56">
        <v>52548.090332999993</v>
      </c>
      <c r="I56">
        <v>2078.8000000000002</v>
      </c>
      <c r="J56">
        <v>1517</v>
      </c>
      <c r="K56">
        <f>DAY(Raport[[#This Row],[Dzień]])</f>
        <v>16</v>
      </c>
    </row>
    <row r="57" spans="1:11" x14ac:dyDescent="0.25">
      <c r="A57" t="s">
        <v>8</v>
      </c>
      <c r="B57" t="s">
        <v>3</v>
      </c>
      <c r="C57" t="s">
        <v>4</v>
      </c>
      <c r="D57" s="1">
        <v>46038</v>
      </c>
      <c r="E57">
        <v>29212.215083999999</v>
      </c>
      <c r="F57">
        <v>1380</v>
      </c>
      <c r="G57">
        <v>1270</v>
      </c>
      <c r="H57">
        <v>224624.30752800003</v>
      </c>
      <c r="I57">
        <v>8272.5333333333328</v>
      </c>
      <c r="J57">
        <v>1629</v>
      </c>
      <c r="K57">
        <f>DAY(Raport[[#This Row],[Dzień]])</f>
        <v>16</v>
      </c>
    </row>
    <row r="58" spans="1:11" x14ac:dyDescent="0.25">
      <c r="D58" s="1">
        <v>46039</v>
      </c>
      <c r="E58">
        <v>0</v>
      </c>
      <c r="F58">
        <v>0</v>
      </c>
      <c r="K58">
        <f>DAY(Raport[[#This Row],[Dzień]])</f>
        <v>17</v>
      </c>
    </row>
    <row r="59" spans="1:11" x14ac:dyDescent="0.25">
      <c r="D59" s="1">
        <v>46040</v>
      </c>
      <c r="E59">
        <v>0</v>
      </c>
      <c r="F59">
        <v>0</v>
      </c>
      <c r="K59">
        <f>DAY(Raport[[#This Row],[Dzień]])</f>
        <v>18</v>
      </c>
    </row>
    <row r="60" spans="1:11" x14ac:dyDescent="0.25">
      <c r="A60" t="s">
        <v>8</v>
      </c>
      <c r="B60" t="s">
        <v>7</v>
      </c>
      <c r="C60" t="s">
        <v>4</v>
      </c>
      <c r="D60" s="1">
        <v>46041</v>
      </c>
      <c r="E60">
        <v>0</v>
      </c>
      <c r="F60">
        <v>460</v>
      </c>
      <c r="G60">
        <v>0</v>
      </c>
      <c r="H60">
        <v>92160.963787000001</v>
      </c>
      <c r="I60">
        <v>3260.6333333333332</v>
      </c>
      <c r="J60">
        <v>1696</v>
      </c>
      <c r="K60">
        <f>DAY(Raport[[#This Row],[Dzień]])</f>
        <v>19</v>
      </c>
    </row>
    <row r="61" spans="1:11" x14ac:dyDescent="0.25">
      <c r="A61" t="s">
        <v>8</v>
      </c>
      <c r="B61" t="s">
        <v>5</v>
      </c>
      <c r="C61" t="s">
        <v>4</v>
      </c>
      <c r="D61" s="1">
        <v>46041</v>
      </c>
      <c r="E61">
        <v>2489.8737500000002</v>
      </c>
      <c r="F61">
        <v>171.5</v>
      </c>
      <c r="G61">
        <v>871</v>
      </c>
      <c r="H61">
        <v>100285.16994000001</v>
      </c>
      <c r="I61">
        <v>3107.3500000000004</v>
      </c>
      <c r="J61">
        <v>1936</v>
      </c>
      <c r="K61">
        <f>DAY(Raport[[#This Row],[Dzień]])</f>
        <v>19</v>
      </c>
    </row>
    <row r="62" spans="1:11" x14ac:dyDescent="0.25">
      <c r="A62" t="s">
        <v>8</v>
      </c>
      <c r="B62" t="s">
        <v>6</v>
      </c>
      <c r="C62" t="s">
        <v>4</v>
      </c>
      <c r="D62" s="1">
        <v>46041</v>
      </c>
      <c r="E62">
        <v>5973.4565249999996</v>
      </c>
      <c r="F62">
        <v>72</v>
      </c>
      <c r="G62">
        <v>4978</v>
      </c>
      <c r="H62">
        <v>73305.027177999989</v>
      </c>
      <c r="I62">
        <v>2605.8000000000002</v>
      </c>
      <c r="J62">
        <v>1688</v>
      </c>
      <c r="K62">
        <f>DAY(Raport[[#This Row],[Dzień]])</f>
        <v>19</v>
      </c>
    </row>
    <row r="63" spans="1:11" x14ac:dyDescent="0.25">
      <c r="A63" t="s">
        <v>8</v>
      </c>
      <c r="B63" t="s">
        <v>3</v>
      </c>
      <c r="C63" t="s">
        <v>4</v>
      </c>
      <c r="D63" s="1">
        <v>46041</v>
      </c>
      <c r="E63">
        <v>8463.3302750000003</v>
      </c>
      <c r="F63">
        <v>703.5</v>
      </c>
      <c r="G63">
        <v>722</v>
      </c>
      <c r="H63">
        <v>288387.97266100004</v>
      </c>
      <c r="I63">
        <v>10256.466666666665</v>
      </c>
      <c r="J63">
        <v>1687</v>
      </c>
      <c r="K63">
        <f>DAY(Raport[[#This Row],[Dzień]])</f>
        <v>19</v>
      </c>
    </row>
    <row r="64" spans="1:11" x14ac:dyDescent="0.25">
      <c r="A64" t="s">
        <v>8</v>
      </c>
      <c r="B64" t="s">
        <v>7</v>
      </c>
      <c r="C64" t="s">
        <v>4</v>
      </c>
      <c r="D64" s="1">
        <v>46042</v>
      </c>
      <c r="E64">
        <v>20174.562687999998</v>
      </c>
      <c r="F64">
        <v>436</v>
      </c>
      <c r="G64">
        <v>2776</v>
      </c>
      <c r="H64">
        <v>84242.370286999998</v>
      </c>
      <c r="I64">
        <v>2679.6333333333332</v>
      </c>
      <c r="J64">
        <v>1886</v>
      </c>
      <c r="K64">
        <f>DAY(Raport[[#This Row],[Dzień]])</f>
        <v>20</v>
      </c>
    </row>
    <row r="65" spans="1:11" x14ac:dyDescent="0.25">
      <c r="A65" t="s">
        <v>8</v>
      </c>
      <c r="B65" t="s">
        <v>6</v>
      </c>
      <c r="C65" t="s">
        <v>4</v>
      </c>
      <c r="D65" s="1">
        <v>46042</v>
      </c>
      <c r="E65">
        <v>14783.480320000001</v>
      </c>
      <c r="F65">
        <v>455</v>
      </c>
      <c r="G65">
        <v>1949</v>
      </c>
      <c r="H65">
        <v>67331.570652999988</v>
      </c>
      <c r="I65">
        <v>2533.8000000000002</v>
      </c>
      <c r="J65">
        <v>1594</v>
      </c>
      <c r="K65">
        <f>DAY(Raport[[#This Row],[Dzień]])</f>
        <v>20</v>
      </c>
    </row>
    <row r="66" spans="1:11" x14ac:dyDescent="0.25">
      <c r="A66" t="s">
        <v>8</v>
      </c>
      <c r="B66" t="s">
        <v>3</v>
      </c>
      <c r="C66" t="s">
        <v>4</v>
      </c>
      <c r="D66" s="1">
        <v>46042</v>
      </c>
      <c r="E66">
        <v>34958.043008000001</v>
      </c>
      <c r="F66">
        <v>891</v>
      </c>
      <c r="G66">
        <v>2354</v>
      </c>
      <c r="H66">
        <v>259582.35053600004</v>
      </c>
      <c r="I66">
        <v>9163.5333333333328</v>
      </c>
      <c r="J66">
        <v>1700</v>
      </c>
      <c r="K66">
        <f>DAY(Raport[[#This Row],[Dzień]])</f>
        <v>20</v>
      </c>
    </row>
    <row r="67" spans="1:11" x14ac:dyDescent="0.25">
      <c r="A67" t="s">
        <v>8</v>
      </c>
      <c r="B67" t="s">
        <v>7</v>
      </c>
      <c r="C67" t="s">
        <v>4</v>
      </c>
      <c r="D67" s="1">
        <v>46043</v>
      </c>
      <c r="E67">
        <v>9026.7870000000003</v>
      </c>
      <c r="F67">
        <v>137.9</v>
      </c>
      <c r="G67">
        <v>3928</v>
      </c>
      <c r="H67">
        <v>119719.849162</v>
      </c>
      <c r="I67">
        <v>3768.5333333333333</v>
      </c>
      <c r="J67">
        <v>1906</v>
      </c>
      <c r="K67">
        <f>DAY(Raport[[#This Row],[Dzień]])</f>
        <v>21</v>
      </c>
    </row>
    <row r="68" spans="1:11" x14ac:dyDescent="0.25">
      <c r="A68" t="s">
        <v>8</v>
      </c>
      <c r="B68" t="s">
        <v>3</v>
      </c>
      <c r="C68" t="s">
        <v>4</v>
      </c>
      <c r="D68" s="1">
        <v>46043</v>
      </c>
      <c r="E68">
        <v>9026.7870000000003</v>
      </c>
      <c r="F68">
        <v>137.9</v>
      </c>
      <c r="G68">
        <v>3928</v>
      </c>
      <c r="H68">
        <v>315946.85803600005</v>
      </c>
      <c r="I68">
        <v>10764.366666666665</v>
      </c>
      <c r="J68">
        <v>1761</v>
      </c>
      <c r="K68">
        <f>DAY(Raport[[#This Row],[Dzień]])</f>
        <v>21</v>
      </c>
    </row>
    <row r="69" spans="1:11" x14ac:dyDescent="0.25">
      <c r="A69" t="s">
        <v>8</v>
      </c>
      <c r="B69" t="s">
        <v>7</v>
      </c>
      <c r="C69" t="s">
        <v>4</v>
      </c>
      <c r="D69" s="1">
        <v>46044</v>
      </c>
      <c r="E69">
        <v>7062.3842850000001</v>
      </c>
      <c r="F69">
        <v>403</v>
      </c>
      <c r="G69">
        <v>1051</v>
      </c>
      <c r="H69">
        <v>24031.410756999998</v>
      </c>
      <c r="I69">
        <v>863</v>
      </c>
      <c r="J69">
        <v>1671</v>
      </c>
      <c r="K69">
        <f>DAY(Raport[[#This Row],[Dzień]])</f>
        <v>22</v>
      </c>
    </row>
    <row r="70" spans="1:11" x14ac:dyDescent="0.25">
      <c r="A70" t="s">
        <v>8</v>
      </c>
      <c r="B70" t="s">
        <v>6</v>
      </c>
      <c r="C70" t="s">
        <v>4</v>
      </c>
      <c r="D70" s="1">
        <v>46044</v>
      </c>
      <c r="E70">
        <v>4739.78532</v>
      </c>
      <c r="F70">
        <v>105</v>
      </c>
      <c r="G70">
        <v>2708</v>
      </c>
      <c r="H70">
        <v>6605.0557200000003</v>
      </c>
      <c r="I70">
        <v>183.16666666666666</v>
      </c>
      <c r="J70">
        <v>2164</v>
      </c>
      <c r="K70">
        <f>DAY(Raport[[#This Row],[Dzień]])</f>
        <v>22</v>
      </c>
    </row>
    <row r="71" spans="1:11" x14ac:dyDescent="0.25">
      <c r="A71" t="s">
        <v>8</v>
      </c>
      <c r="B71" t="s">
        <v>3</v>
      </c>
      <c r="C71" t="s">
        <v>4</v>
      </c>
      <c r="D71" s="1">
        <v>46044</v>
      </c>
      <c r="E71">
        <v>11802.169605000001</v>
      </c>
      <c r="F71">
        <v>508</v>
      </c>
      <c r="G71">
        <v>1394</v>
      </c>
      <c r="H71">
        <v>100019.155159</v>
      </c>
      <c r="I71">
        <v>3359.0833333333335</v>
      </c>
      <c r="J71">
        <v>1787</v>
      </c>
      <c r="K71">
        <f>DAY(Raport[[#This Row],[Dzień]])</f>
        <v>22</v>
      </c>
    </row>
    <row r="72" spans="1:11" x14ac:dyDescent="0.25">
      <c r="A72" t="s">
        <v>8</v>
      </c>
      <c r="B72" t="s">
        <v>7</v>
      </c>
      <c r="C72" t="s">
        <v>4</v>
      </c>
      <c r="D72" s="1">
        <v>46045</v>
      </c>
      <c r="E72">
        <v>18532.098375000001</v>
      </c>
      <c r="F72">
        <v>370</v>
      </c>
      <c r="G72">
        <v>3005</v>
      </c>
      <c r="H72">
        <v>110693.062162</v>
      </c>
      <c r="I72">
        <v>3630.6333333333332</v>
      </c>
      <c r="J72">
        <v>1829</v>
      </c>
      <c r="K72">
        <f>DAY(Raport[[#This Row],[Dzień]])</f>
        <v>23</v>
      </c>
    </row>
    <row r="73" spans="1:11" x14ac:dyDescent="0.25">
      <c r="A73" t="s">
        <v>8</v>
      </c>
      <c r="B73" t="s">
        <v>3</v>
      </c>
      <c r="C73" t="s">
        <v>4</v>
      </c>
      <c r="D73" s="1">
        <v>46045</v>
      </c>
      <c r="E73">
        <v>18532.098375000001</v>
      </c>
      <c r="F73">
        <v>370</v>
      </c>
      <c r="G73">
        <v>3005</v>
      </c>
      <c r="H73">
        <v>306920.07103600004</v>
      </c>
      <c r="I73">
        <v>10626.466666666665</v>
      </c>
      <c r="J73">
        <v>1733</v>
      </c>
      <c r="K73">
        <f>DAY(Raport[[#This Row],[Dzień]])</f>
        <v>23</v>
      </c>
    </row>
    <row r="74" spans="1:11" x14ac:dyDescent="0.25">
      <c r="D74" s="1">
        <v>46046</v>
      </c>
      <c r="E74">
        <v>0</v>
      </c>
      <c r="F74">
        <v>0</v>
      </c>
      <c r="K74">
        <f>DAY(Raport[[#This Row],[Dzień]])</f>
        <v>24</v>
      </c>
    </row>
    <row r="75" spans="1:11" x14ac:dyDescent="0.25">
      <c r="D75" s="1">
        <v>46047</v>
      </c>
      <c r="E75">
        <v>0</v>
      </c>
      <c r="F75">
        <v>0</v>
      </c>
      <c r="K75">
        <f>DAY(Raport[[#This Row],[Dzień]])</f>
        <v>25</v>
      </c>
    </row>
    <row r="76" spans="1:11" x14ac:dyDescent="0.25">
      <c r="A76" t="s">
        <v>2</v>
      </c>
      <c r="B76" t="s">
        <v>5</v>
      </c>
      <c r="C76" t="s">
        <v>4</v>
      </c>
      <c r="D76" s="1">
        <v>46048</v>
      </c>
      <c r="E76">
        <v>67338.735920000006</v>
      </c>
      <c r="F76">
        <v>388</v>
      </c>
      <c r="G76">
        <v>10413</v>
      </c>
      <c r="H76">
        <v>264547.534904</v>
      </c>
      <c r="I76">
        <v>1495.2</v>
      </c>
      <c r="J76">
        <v>10616</v>
      </c>
      <c r="K76">
        <f>DAY(Raport[[#This Row],[Dzień]])</f>
        <v>26</v>
      </c>
    </row>
    <row r="77" spans="1:11" x14ac:dyDescent="0.25">
      <c r="A77" t="s">
        <v>8</v>
      </c>
      <c r="B77" t="s">
        <v>7</v>
      </c>
      <c r="C77" t="s">
        <v>4</v>
      </c>
      <c r="D77" s="1">
        <v>46048</v>
      </c>
      <c r="E77">
        <v>5933.67994</v>
      </c>
      <c r="F77">
        <v>90</v>
      </c>
      <c r="G77">
        <v>3956</v>
      </c>
      <c r="H77">
        <v>92160.963787000001</v>
      </c>
      <c r="I77">
        <v>2800.6333333333332</v>
      </c>
      <c r="J77">
        <v>1974</v>
      </c>
      <c r="K77">
        <f>DAY(Raport[[#This Row],[Dzień]])</f>
        <v>26</v>
      </c>
    </row>
    <row r="78" spans="1:11" x14ac:dyDescent="0.25">
      <c r="A78" t="s">
        <v>2</v>
      </c>
      <c r="B78" t="s">
        <v>3</v>
      </c>
      <c r="C78" t="s">
        <v>4</v>
      </c>
      <c r="D78" s="1">
        <v>46048</v>
      </c>
      <c r="E78">
        <v>67338.735920000006</v>
      </c>
      <c r="F78">
        <v>388</v>
      </c>
      <c r="G78">
        <v>10413</v>
      </c>
      <c r="H78">
        <v>1073372.6788240001</v>
      </c>
      <c r="I78">
        <v>5663.9666666666662</v>
      </c>
      <c r="J78">
        <v>11371</v>
      </c>
      <c r="K78">
        <f>DAY(Raport[[#This Row],[Dzień]])</f>
        <v>26</v>
      </c>
    </row>
    <row r="79" spans="1:11" x14ac:dyDescent="0.25">
      <c r="A79" t="s">
        <v>8</v>
      </c>
      <c r="B79" t="s">
        <v>3</v>
      </c>
      <c r="C79" t="s">
        <v>4</v>
      </c>
      <c r="D79" s="1">
        <v>46048</v>
      </c>
      <c r="E79">
        <v>5933.67994</v>
      </c>
      <c r="F79">
        <v>90</v>
      </c>
      <c r="G79">
        <v>3956</v>
      </c>
      <c r="H79">
        <v>279924.64238600002</v>
      </c>
      <c r="I79">
        <v>9552.9666666666653</v>
      </c>
      <c r="J79">
        <v>1758</v>
      </c>
      <c r="K79">
        <f>DAY(Raport[[#This Row],[Dzień]])</f>
        <v>26</v>
      </c>
    </row>
    <row r="80" spans="1:11" x14ac:dyDescent="0.25">
      <c r="A80" t="s">
        <v>2</v>
      </c>
      <c r="B80" t="s">
        <v>6</v>
      </c>
      <c r="C80" t="s">
        <v>4</v>
      </c>
      <c r="D80" s="1">
        <v>46049</v>
      </c>
      <c r="E80">
        <v>33213.34016</v>
      </c>
      <c r="F80">
        <v>143.11666666666667</v>
      </c>
      <c r="G80">
        <v>13924</v>
      </c>
      <c r="H80">
        <v>339737.648216</v>
      </c>
      <c r="I80">
        <v>2078.5166666666669</v>
      </c>
      <c r="J80">
        <v>9807</v>
      </c>
      <c r="K80">
        <f>DAY(Raport[[#This Row],[Dzień]])</f>
        <v>27</v>
      </c>
    </row>
    <row r="81" spans="1:11" x14ac:dyDescent="0.25">
      <c r="A81" t="s">
        <v>8</v>
      </c>
      <c r="B81" t="s">
        <v>7</v>
      </c>
      <c r="C81" t="s">
        <v>4</v>
      </c>
      <c r="D81" s="1">
        <v>46049</v>
      </c>
      <c r="E81">
        <v>16969.026471999998</v>
      </c>
      <c r="F81">
        <v>460</v>
      </c>
      <c r="G81">
        <v>2213</v>
      </c>
      <c r="H81">
        <v>16969.026471999998</v>
      </c>
      <c r="I81">
        <v>460</v>
      </c>
      <c r="J81">
        <v>2213</v>
      </c>
      <c r="K81">
        <f>DAY(Raport[[#This Row],[Dzień]])</f>
        <v>27</v>
      </c>
    </row>
    <row r="82" spans="1:11" x14ac:dyDescent="0.25">
      <c r="A82" t="s">
        <v>8</v>
      </c>
      <c r="B82" t="s">
        <v>6</v>
      </c>
      <c r="C82" t="s">
        <v>4</v>
      </c>
      <c r="D82" s="1">
        <v>46049</v>
      </c>
      <c r="E82">
        <v>3496.0684000000001</v>
      </c>
      <c r="F82">
        <v>316.88333333333338</v>
      </c>
      <c r="G82">
        <v>662</v>
      </c>
      <c r="H82">
        <v>85104.384257999991</v>
      </c>
      <c r="I82">
        <v>3428.4833333333336</v>
      </c>
      <c r="J82">
        <v>1489</v>
      </c>
      <c r="K82">
        <f>DAY(Raport[[#This Row],[Dzień]])</f>
        <v>27</v>
      </c>
    </row>
    <row r="83" spans="1:11" x14ac:dyDescent="0.25">
      <c r="A83" t="s">
        <v>2</v>
      </c>
      <c r="B83" t="s">
        <v>3</v>
      </c>
      <c r="C83" t="s">
        <v>4</v>
      </c>
      <c r="D83" s="1">
        <v>46049</v>
      </c>
      <c r="E83">
        <v>33213.34016</v>
      </c>
      <c r="F83">
        <v>143.11666666666667</v>
      </c>
      <c r="G83">
        <v>13924</v>
      </c>
      <c r="H83">
        <v>1106586.018984</v>
      </c>
      <c r="I83">
        <v>5807.083333333333</v>
      </c>
      <c r="J83">
        <v>11433</v>
      </c>
      <c r="K83">
        <f>DAY(Raport[[#This Row],[Dzień]])</f>
        <v>27</v>
      </c>
    </row>
    <row r="84" spans="1:11" x14ac:dyDescent="0.25">
      <c r="A84" t="s">
        <v>8</v>
      </c>
      <c r="B84" t="s">
        <v>3</v>
      </c>
      <c r="C84" t="s">
        <v>4</v>
      </c>
      <c r="D84" s="1">
        <v>46049</v>
      </c>
      <c r="E84">
        <v>20465.094872000001</v>
      </c>
      <c r="F84">
        <v>776.88333333333333</v>
      </c>
      <c r="G84">
        <v>1581</v>
      </c>
      <c r="H84">
        <v>20465.094872000001</v>
      </c>
      <c r="I84">
        <v>776.88333333333333</v>
      </c>
      <c r="J84">
        <v>1581</v>
      </c>
      <c r="K84">
        <f>DAY(Raport[[#This Row],[Dzień]])</f>
        <v>27</v>
      </c>
    </row>
    <row r="85" spans="1:11" x14ac:dyDescent="0.25">
      <c r="A85" t="s">
        <v>8</v>
      </c>
      <c r="B85" t="s">
        <v>7</v>
      </c>
      <c r="C85" t="s">
        <v>4</v>
      </c>
      <c r="D85" s="1">
        <v>46050</v>
      </c>
      <c r="E85">
        <v>15276.241216</v>
      </c>
      <c r="F85">
        <v>460</v>
      </c>
      <c r="G85">
        <v>1993</v>
      </c>
      <c r="H85">
        <v>50801.8099</v>
      </c>
      <c r="I85">
        <v>1840.2833333333333</v>
      </c>
      <c r="J85">
        <v>1656</v>
      </c>
      <c r="K85">
        <f>DAY(Raport[[#This Row],[Dzień]])</f>
        <v>28</v>
      </c>
    </row>
    <row r="86" spans="1:11" x14ac:dyDescent="0.25">
      <c r="A86" t="s">
        <v>8</v>
      </c>
      <c r="B86" t="s">
        <v>5</v>
      </c>
      <c r="C86" t="s">
        <v>4</v>
      </c>
      <c r="D86" s="1">
        <v>46050</v>
      </c>
      <c r="E86">
        <v>6720.2867800000004</v>
      </c>
      <c r="F86">
        <v>279.26666666666665</v>
      </c>
      <c r="G86">
        <v>1444</v>
      </c>
      <c r="H86">
        <v>19707.548049999998</v>
      </c>
      <c r="I86">
        <v>912.11666666666667</v>
      </c>
      <c r="J86">
        <v>1296</v>
      </c>
      <c r="K86">
        <f>DAY(Raport[[#This Row],[Dzień]])</f>
        <v>28</v>
      </c>
    </row>
    <row r="87" spans="1:11" x14ac:dyDescent="0.25">
      <c r="A87" t="s">
        <v>8</v>
      </c>
      <c r="B87" t="s">
        <v>6</v>
      </c>
      <c r="C87" t="s">
        <v>4</v>
      </c>
      <c r="D87" s="1">
        <v>46050</v>
      </c>
      <c r="E87">
        <v>4964.9948800000002</v>
      </c>
      <c r="F87">
        <v>460</v>
      </c>
      <c r="G87">
        <v>648</v>
      </c>
      <c r="H87">
        <v>81608.315857999987</v>
      </c>
      <c r="I87">
        <v>3111.6000000000004</v>
      </c>
      <c r="J87">
        <v>1574</v>
      </c>
      <c r="K87">
        <f>DAY(Raport[[#This Row],[Dzień]])</f>
        <v>28</v>
      </c>
    </row>
    <row r="88" spans="1:11" x14ac:dyDescent="0.25">
      <c r="A88" t="s">
        <v>8</v>
      </c>
      <c r="B88" t="s">
        <v>3</v>
      </c>
      <c r="C88" t="s">
        <v>4</v>
      </c>
      <c r="D88" s="1">
        <v>46050</v>
      </c>
      <c r="E88">
        <v>26961.522875999999</v>
      </c>
      <c r="F88">
        <v>1199.2666666666664</v>
      </c>
      <c r="G88">
        <v>1349</v>
      </c>
      <c r="H88">
        <v>173841.97706</v>
      </c>
      <c r="I88">
        <v>5832.583333333333</v>
      </c>
      <c r="J88">
        <v>1788</v>
      </c>
      <c r="K88">
        <f>DAY(Raport[[#This Row],[Dzień]])</f>
        <v>28</v>
      </c>
    </row>
    <row r="89" spans="1:11" x14ac:dyDescent="0.25">
      <c r="A89" t="s">
        <v>2</v>
      </c>
      <c r="B89" t="s">
        <v>6</v>
      </c>
      <c r="C89" t="s">
        <v>4</v>
      </c>
      <c r="D89" s="1">
        <v>46051</v>
      </c>
      <c r="E89">
        <v>46231.193088</v>
      </c>
      <c r="F89">
        <v>430</v>
      </c>
      <c r="G89">
        <v>6451</v>
      </c>
      <c r="H89">
        <v>306524.30805599998</v>
      </c>
      <c r="I89">
        <v>1935.4</v>
      </c>
      <c r="J89">
        <v>9503</v>
      </c>
      <c r="K89">
        <f>DAY(Raport[[#This Row],[Dzień]])</f>
        <v>29</v>
      </c>
    </row>
    <row r="90" spans="1:11" x14ac:dyDescent="0.25">
      <c r="A90" t="s">
        <v>2</v>
      </c>
      <c r="B90" t="s">
        <v>7</v>
      </c>
      <c r="C90" t="s">
        <v>4</v>
      </c>
      <c r="D90" s="1">
        <v>46051</v>
      </c>
      <c r="E90">
        <v>98646.971416000015</v>
      </c>
      <c r="F90">
        <v>460</v>
      </c>
      <c r="G90">
        <v>12867</v>
      </c>
      <c r="H90">
        <v>502300.83586400002</v>
      </c>
      <c r="I90">
        <v>2233.3666666666668</v>
      </c>
      <c r="J90">
        <v>13494</v>
      </c>
      <c r="K90">
        <f>DAY(Raport[[#This Row],[Dzień]])</f>
        <v>29</v>
      </c>
    </row>
    <row r="91" spans="1:11" x14ac:dyDescent="0.25">
      <c r="A91" t="s">
        <v>8</v>
      </c>
      <c r="B91" t="s">
        <v>5</v>
      </c>
      <c r="C91" t="s">
        <v>4</v>
      </c>
      <c r="D91" s="1">
        <v>46051</v>
      </c>
      <c r="E91">
        <v>4226.3759</v>
      </c>
      <c r="F91">
        <v>363.78333333333336</v>
      </c>
      <c r="G91">
        <v>697</v>
      </c>
      <c r="H91">
        <v>44257.919959999999</v>
      </c>
      <c r="I91">
        <v>1656.9</v>
      </c>
      <c r="J91">
        <v>1603</v>
      </c>
      <c r="K91">
        <f>DAY(Raport[[#This Row],[Dzień]])</f>
        <v>29</v>
      </c>
    </row>
    <row r="92" spans="1:11" x14ac:dyDescent="0.25">
      <c r="A92" t="s">
        <v>2</v>
      </c>
      <c r="B92" t="s">
        <v>3</v>
      </c>
      <c r="C92" t="s">
        <v>4</v>
      </c>
      <c r="D92" s="1">
        <v>46051</v>
      </c>
      <c r="E92">
        <v>144878.16450400001</v>
      </c>
      <c r="F92">
        <v>890</v>
      </c>
      <c r="G92">
        <v>9767</v>
      </c>
      <c r="H92">
        <v>1006033.9429039999</v>
      </c>
      <c r="I92">
        <v>5275.9666666666662</v>
      </c>
      <c r="J92">
        <v>11441</v>
      </c>
      <c r="K92">
        <f>DAY(Raport[[#This Row],[Dzień]])</f>
        <v>29</v>
      </c>
    </row>
    <row r="93" spans="1:11" x14ac:dyDescent="0.25">
      <c r="A93" t="s">
        <v>8</v>
      </c>
      <c r="B93" t="s">
        <v>3</v>
      </c>
      <c r="C93" t="s">
        <v>4</v>
      </c>
      <c r="D93" s="1">
        <v>46051</v>
      </c>
      <c r="E93">
        <v>4226.3759</v>
      </c>
      <c r="F93">
        <v>363.78333333333336</v>
      </c>
      <c r="G93">
        <v>697</v>
      </c>
      <c r="H93">
        <v>184810.19584400003</v>
      </c>
      <c r="I93">
        <v>6485.0166666666664</v>
      </c>
      <c r="J93">
        <v>1710</v>
      </c>
      <c r="K93">
        <f>DAY(Raport[[#This Row],[Dzień]])</f>
        <v>29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7C05B8-5F28-407B-9CA3-E9B3C9229793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f5963429-701c-4fdb-9e1d-20bc4e3c7ff4}" enabled="1" method="Standard" siteId="{75998ea3-790c-40ea-ac1e-02ee8edfb00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>Stora Enso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Buchalski, Dariusz</dc:creator>
  <cp:lastModifiedBy>Buchalski, Dariusz</cp:lastModifiedBy>
  <dcterms:created xsi:type="dcterms:W3CDTF">2026-01-27T13:49:23Z</dcterms:created>
  <dcterms:modified xsi:type="dcterms:W3CDTF">2026-01-30T11:35:52Z</dcterms:modified>
</cp:coreProperties>
</file>